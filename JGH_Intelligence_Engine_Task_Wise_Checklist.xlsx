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ayak_o7hopi6\Downloads\"/>
    </mc:Choice>
  </mc:AlternateContent>
  <xr:revisionPtr revIDLastSave="0" documentId="13_ncr:1_{690C855E-3509-482A-AB0E-FEF41437E1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plementation Checklist" sheetId="1" r:id="rId1"/>
    <sheet name="Progress Summary" sheetId="2" r:id="rId2"/>
    <sheet name="Scenario Tracker" sheetId="3" r:id="rId3"/>
  </sheets>
  <definedNames>
    <definedName name="_xlnm._FilterDatabase" localSheetId="0" hidden="1">'Implementation Checklist'!$A$1:$L$23</definedName>
    <definedName name="_xlnm._FilterDatabase" localSheetId="2" hidden="1">'Scenario Tracker'!$A$1:$F$15</definedName>
  </definedNames>
  <calcPr calcId="191029"/>
</workbook>
</file>

<file path=xl/calcChain.xml><?xml version="1.0" encoding="utf-8"?>
<calcChain xmlns="http://schemas.openxmlformats.org/spreadsheetml/2006/main">
  <c r="B14" i="2" l="1"/>
  <c r="B13" i="2"/>
  <c r="B12" i="2"/>
  <c r="B8" i="2"/>
  <c r="B7" i="2"/>
  <c r="B6" i="2"/>
  <c r="B5" i="2"/>
  <c r="B4" i="2"/>
  <c r="B9" i="2" s="1"/>
</calcChain>
</file>

<file path=xl/sharedStrings.xml><?xml version="1.0" encoding="utf-8"?>
<sst xmlns="http://schemas.openxmlformats.org/spreadsheetml/2006/main" count="291" uniqueCount="210">
  <si>
    <t>Done</t>
  </si>
  <si>
    <t>Task ID</t>
  </si>
  <si>
    <t>Task / Scenario</t>
  </si>
  <si>
    <t>Problem</t>
  </si>
  <si>
    <t>Planned Solution</t>
  </si>
  <si>
    <t>Technical Implementation</t>
  </si>
  <si>
    <t>Expected Outcome</t>
  </si>
  <si>
    <t>Priority</t>
  </si>
  <si>
    <t>Status</t>
  </si>
  <si>
    <t>Owner</t>
  </si>
  <si>
    <t>Target Date</t>
  </si>
  <si>
    <t>Notes / Evidence</t>
  </si>
  <si>
    <t>☐</t>
  </si>
  <si>
    <t>T01</t>
  </si>
  <si>
    <t>Model Hosting</t>
  </si>
  <si>
    <t>Qwen model runs locally; team lead should not install model/Ollama.</t>
  </si>
  <si>
    <t>Host model remotely; keep model access behind FastAPI.</t>
  </si>
  <si>
    <t>Containerize model service; configure OLLAMA_HOST/model endpoint; validate suitable free/demo host.</t>
  </si>
  <si>
    <t>Team lead uses browser only.</t>
  </si>
  <si>
    <t>High</t>
  </si>
  <si>
    <t>Not Started</t>
  </si>
  <si>
    <t>T02</t>
  </si>
  <si>
    <t>Public HTTPS Access</t>
  </si>
  <si>
    <t>Localhost application is not accessible externally.</t>
  </si>
  <si>
    <t>Expose application through HTTPS.</t>
  </si>
  <si>
    <t>Serve production frontend from FastAPI; deploy/tunnel FastAPI securely.</t>
  </si>
  <si>
    <t>Public browser URL works.</t>
  </si>
  <si>
    <t>In Progress</t>
  </si>
  <si>
    <t>T03</t>
  </si>
  <si>
    <t>Model Routing</t>
  </si>
  <si>
    <t>Strong model for every request can increase latency/resource usage.</t>
  </si>
  <si>
    <t>Classify and route requests by complexity.</t>
  </si>
  <si>
    <t>Classifier → fast model for suitable requests → Qwen for complex requests; add escalation.</t>
  </si>
  <si>
    <t>Efficient model usage.</t>
  </si>
  <si>
    <t>T04</t>
  </si>
  <si>
    <t>Schema &amp; Business Knowledge</t>
  </si>
  <si>
    <t>Model may not know correct tables, columns, relationships or terminology.</t>
  </si>
  <si>
    <t>Use controlled schema and business knowledge.</t>
  </si>
  <si>
    <t>Schema metadata + business dictionary + ChromaDB/RAG retrieval.</t>
  </si>
  <si>
    <t>Improved SQL/business understanding.</t>
  </si>
  <si>
    <t>T05</t>
  </si>
  <si>
    <t>Conversation Context</t>
  </si>
  <si>
    <t>Follow-ups may lose previous context.</t>
  </si>
  <si>
    <t>Maintain structured session context and entity references.</t>
  </si>
  <si>
    <t>Store location, role, metric, time and result references per session.</t>
  </si>
  <si>
    <t>Correct follow-up interpretation.</t>
  </si>
  <si>
    <t>T06</t>
  </si>
  <si>
    <t>Multiple Users / Concurrency</t>
  </si>
  <si>
    <t>Users may access simultaneously and contexts must not mix.</t>
  </si>
  <si>
    <t>Isolate sessions and handle concurrent requests.</t>
  </si>
  <si>
    <t>user_id + session_id + request_id; async FastAPI; Redis; DB pooling; limits/queue.</t>
  </si>
  <si>
    <t>No cross-user context mixing.</t>
  </si>
  <si>
    <t>T07</t>
  </si>
  <si>
    <t>Privacy / No Chat History</t>
  </si>
  <si>
    <t>Some users may not want conversations stored.</t>
  </si>
  <si>
    <t>Provide normal, temporary/private and no-memory modes.</t>
  </si>
  <si>
    <t>Separate active context from persistent history; define retention for cache/logs/history.</t>
  </si>
  <si>
    <t>Controlled privacy behavior.</t>
  </si>
  <si>
    <t>T08</t>
  </si>
  <si>
    <t>Date / Timezone</t>
  </si>
  <si>
    <t>Relative dates and IST/UTC boundaries can be misinterpreted.</t>
  </si>
  <si>
    <t>Resolve dates deterministically.</t>
  </si>
  <si>
    <t>Date/timezone resolver before SQL generation.</t>
  </si>
  <si>
    <t>Correct date filtering.</t>
  </si>
  <si>
    <t>T09</t>
  </si>
  <si>
    <t>Business Metrics</t>
  </si>
  <si>
    <t>Average, NULL, zero, historical/current balance can differ by business rule.</t>
  </si>
  <si>
    <t>Define approved metric logic outside the LLM where possible.</t>
  </si>
  <si>
    <t>Metric dictionary + deterministic rules + source selection.</t>
  </si>
  <si>
    <t>Consistent calculations.</t>
  </si>
  <si>
    <t>T10</t>
  </si>
  <si>
    <t>Role / Relationship Resolution</t>
  </si>
  <si>
    <t>Distributor/retailer/wholesaler/mechanic relationships can be ambiguous.</t>
  </si>
  <si>
    <t>Use approved roles and relationships.</t>
  </si>
  <si>
    <t>Role resolver + FK/join graph + join validation.</t>
  </si>
  <si>
    <t>Correct relationships/joins.</t>
  </si>
  <si>
    <t>T11</t>
  </si>
  <si>
    <t>SQL Generation</t>
  </si>
  <si>
    <t>LLM may generate wrong SQL.</t>
  </si>
  <si>
    <t>Generate SQL using retrieved schema/business context.</t>
  </si>
  <si>
    <t>Prompt/model receives controlled context; strong model generates SQL/plan.</t>
  </si>
  <si>
    <t>Higher SQL accuracy.</t>
  </si>
  <si>
    <t>T12</t>
  </si>
  <si>
    <t>SQL AST Validation</t>
  </si>
  <si>
    <t>Valid SQL syntax can still be unsafe/incorrect.</t>
  </si>
  <si>
    <t>Inspect SQL before execution.</t>
  </si>
  <si>
    <t>sqlglot/AST parsing; check tables, columns, joins and operations.</t>
  </si>
  <si>
    <t>Unsafe/invalid SQL blocked.</t>
  </si>
  <si>
    <t>T13</t>
  </si>
  <si>
    <t>Security / Sensitive Data</t>
  </si>
  <si>
    <t>Model could request restricted columns or operations.</t>
  </si>
  <si>
    <t>Enforce security independently of LLM.</t>
  </si>
  <si>
    <t>Column blacklist, permissions, read-only rules and deterministic checks.</t>
  </si>
  <si>
    <t>Restricted data protected.</t>
  </si>
  <si>
    <t>T14</t>
  </si>
  <si>
    <t>Cost Gate</t>
  </si>
  <si>
    <t>Valid queries can still be too expensive.</t>
  </si>
  <si>
    <t>Control expensive queries before execution.</t>
  </si>
  <si>
    <t>EXPLAIN/cost checks + thresholds; reject/request filters.</t>
  </si>
  <si>
    <t>Database protected from expensive queries.</t>
  </si>
  <si>
    <t>T15</t>
  </si>
  <si>
    <t>Database Connection Pool</t>
  </si>
  <si>
    <t>Many users can exhaust MySQL connections.</t>
  </si>
  <si>
    <t>Use controlled connection pooling.</t>
  </si>
  <si>
    <t>SQLAlchemy pool, limits, timeouts and health checks.</t>
  </si>
  <si>
    <t>Stable DB access.</t>
  </si>
  <si>
    <t>T16</t>
  </si>
  <si>
    <t>Schema Drift</t>
  </si>
  <si>
    <t>Database changes can make AI knowledge stale.</t>
  </si>
  <si>
    <t>Detect changes and refresh knowledge.</t>
  </si>
  <si>
    <t>Schema Inspector/diff; invalidate affected knowledge; create new knowledge version.</t>
  </si>
  <si>
    <t>No silent stale-schema usage.</t>
  </si>
  <si>
    <t>T17</t>
  </si>
  <si>
    <t>Network / Model Failure</t>
  </si>
  <si>
    <t>Model/API/DB can fail or timeout.</t>
  </si>
  <si>
    <t>Add controlled failure handling.</t>
  </si>
  <si>
    <t>Timeouts, health checks, bounded retries and graceful errors.</t>
  </si>
  <si>
    <t>Reliable failure behavior.</t>
  </si>
  <si>
    <t>T18</t>
  </si>
  <si>
    <t>Application / Model Upgrade</t>
  </si>
  <si>
    <t>Updates can interrupt users or introduce regressions.</t>
  </si>
  <si>
    <t>Use staged deployment and rollback.</t>
  </si>
  <si>
    <t>Development → testing → staging → warm new version → gradual traffic → monitor → rollback if needed.</t>
  </si>
  <si>
    <t>Safer upgrades with minimal interruption.</t>
  </si>
  <si>
    <t>T19</t>
  </si>
  <si>
    <t>Knowledge Versioning</t>
  </si>
  <si>
    <t>New schema/business knowledge may conflict with current version.</t>
  </si>
  <si>
    <t>Version and validate knowledge before activation.</t>
  </si>
  <si>
    <t>knowledge_v1/v2; test retrieval and SQL scenarios before switching.</t>
  </si>
  <si>
    <t>Controlled knowledge updates.</t>
  </si>
  <si>
    <t>Medium</t>
  </si>
  <si>
    <t>T20</t>
  </si>
  <si>
    <t>Monitoring</t>
  </si>
  <si>
    <t>Problems are difficult to diagnose without visibility.</t>
  </si>
  <si>
    <t>Add operational monitoring.</t>
  </si>
  <si>
    <t>Structured logs, health endpoints, latency/error metrics, model availability checks.</t>
  </si>
  <si>
    <t>Better diagnosis.</t>
  </si>
  <si>
    <t>T21</t>
  </si>
  <si>
    <t>Load / Concurrent Testing</t>
  </si>
  <si>
    <t>One-user success does not prove multi-user capacity.</t>
  </si>
  <si>
    <t>Measure actual capacity.</t>
  </si>
  <si>
    <t>Run 2/5/10+ concurrent-user tests; record latency, queue time, DB connections and errors.</t>
  </si>
  <si>
    <t>Known capacity limits.</t>
  </si>
  <si>
    <t>T22</t>
  </si>
  <si>
    <t>Team Lead Demo</t>
  </si>
  <si>
    <t>Team lead needs to test without installing model.</t>
  </si>
  <si>
    <t>Provide browser-based test environment.</t>
  </si>
  <si>
    <t>FastAPI + production frontend + accessible model + DB + HTTPS; verify externally.</t>
  </si>
  <si>
    <t>Team lead can test from browser.</t>
  </si>
  <si>
    <t>JGH INTELLIGENCE ENGINE – IMPLEMENTATION PROGRESS</t>
  </si>
  <si>
    <t>Metric</t>
  </si>
  <si>
    <t>Value</t>
  </si>
  <si>
    <t>Total Tasks</t>
  </si>
  <si>
    <t>Completed</t>
  </si>
  <si>
    <t>Blocked</t>
  </si>
  <si>
    <t>Completion %</t>
  </si>
  <si>
    <t>Task Count</t>
  </si>
  <si>
    <t>Low</t>
  </si>
  <si>
    <t>How to use this checklist</t>
  </si>
  <si>
    <t>1. Assign an owner and target date for each task.</t>
  </si>
  <si>
    <t>2. Change Status as implementation progresses.</t>
  </si>
  <si>
    <t>3. Mark Done as ☑ only after the task is tested.</t>
  </si>
  <si>
    <t>4. Add evidence such as commit, test result, URL, screenshot or document in Notes / Evidence.</t>
  </si>
  <si>
    <t>Scenario</t>
  </si>
  <si>
    <t>Test Question / Situation</t>
  </si>
  <si>
    <t>Expected Behavior</t>
  </si>
  <si>
    <t>Test Result</t>
  </si>
  <si>
    <t>Evidence / Notes</t>
  </si>
  <si>
    <t>E1 – Relative dates</t>
  </si>
  <si>
    <t>Ask a query using today/yesterday/month boundary</t>
  </si>
  <si>
    <t>Correct explicit date/timezone resolution</t>
  </si>
  <si>
    <t>E2 – Context</t>
  </si>
  <si>
    <t>Ask distributors, then 'what about retailers?'</t>
  </si>
  <si>
    <t>Follow-up uses same session context</t>
  </si>
  <si>
    <t>E3 – Business terminology</t>
  </si>
  <si>
    <t>Use an approved business synonym</t>
  </si>
  <si>
    <t>Correct mapped business meaning</t>
  </si>
  <si>
    <t>E4 – Cost Gate</t>
  </si>
  <si>
    <t>Submit an expensive join/query</t>
  </si>
  <si>
    <t>Query blocked or controlled</t>
  </si>
  <si>
    <t>E5 – Schema drift</t>
  </si>
  <si>
    <t>Change a table/column and refresh</t>
  </si>
  <si>
    <t>Stale metadata detected and refreshed</t>
  </si>
  <si>
    <t>E6 – Sensitive data</t>
  </si>
  <si>
    <t>Request restricted column</t>
  </si>
  <si>
    <t>Request blocked</t>
  </si>
  <si>
    <t>E7 – Historical/current balance</t>
  </si>
  <si>
    <t>Ask historical and current balance</t>
  </si>
  <si>
    <t>Correct source/logic selected</t>
  </si>
  <si>
    <t>E8 – Role relationship</t>
  </si>
  <si>
    <t>Ask retailer/distributor relationship query</t>
  </si>
  <si>
    <t>Approved FK/join used</t>
  </si>
  <si>
    <t>E9 – Multiple users</t>
  </si>
  <si>
    <t>Two users ask different questions simultaneously</t>
  </si>
  <si>
    <t>No session/context mixing</t>
  </si>
  <si>
    <t>E10 – NULL/zero/average</t>
  </si>
  <si>
    <t>Test approved metric edge cases</t>
  </si>
  <si>
    <t>Correct business metric calculation</t>
  </si>
  <si>
    <t>E11 – IST/UTC</t>
  </si>
  <si>
    <t>Test date near midnight boundary</t>
  </si>
  <si>
    <t>Correct timezone result</t>
  </si>
  <si>
    <t>E12 – No history</t>
  </si>
  <si>
    <t>Use private/no-memory mode</t>
  </si>
  <si>
    <t>Conversation not persisted per policy</t>
  </si>
  <si>
    <t>E13 – Failure</t>
  </si>
  <si>
    <t>Stop model/API/DB or induce timeout</t>
  </si>
  <si>
    <t>Graceful error/recovery</t>
  </si>
  <si>
    <t>E14 – Upgrade</t>
  </si>
  <si>
    <t>Deploy new version then simulate failure</t>
  </si>
  <si>
    <t>New version can be rolled 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</si>
</sst>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8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1" fillId="2" borderId="0" xfId="0" applyFont="1" applyFill="1"/>
    <xf numFmtId="9" fontId="0" fillId="0" borderId="0" xfId="0" applyNumberFormat="1"/>
    <xf numFmtId="0" fontId="3" fillId="0" borderId="0" xfId="0" applyFont="1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0" fillId="0" borderId="0" xfId="0"/>
  </cellXfs>
  <cellStyles count="1">
    <cellStyle name="Normal" xfId="0" builtinId="0"/>
  </cellStyles>
  <dxfs count="4">
    <dxf>
      <fill>
        <patternFill patternType="solid">
          <fgColor rgb="FFDDEBF7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>
      <pane ySplit="1" topLeftCell="A2" activePane="bottomLeft" state="frozen"/>
      <selection pane="bottomLeft" activeCell="I23" sqref="I23"/>
    </sheetView>
  </sheetViews>
  <sheetFormatPr defaultRowHeight="14.4" x14ac:dyDescent="0.3"/>
  <cols>
    <col min="1" max="1" width="8" customWidth="1"/>
    <col min="2" max="2" width="10" customWidth="1"/>
    <col min="3" max="3" width="24" customWidth="1"/>
    <col min="4" max="5" width="32" customWidth="1"/>
    <col min="6" max="6" width="42" customWidth="1"/>
    <col min="7" max="7" width="28" customWidth="1"/>
    <col min="8" max="8" width="10" customWidth="1"/>
    <col min="9" max="9" width="15" customWidth="1"/>
    <col min="10" max="10" width="18" customWidth="1"/>
    <col min="11" max="11" width="15" customWidth="1"/>
    <col min="12" max="12" width="32" customWidth="1"/>
  </cols>
  <sheetData>
    <row r="1" spans="1:12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43.2" x14ac:dyDescent="0.3">
      <c r="A2" s="2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/>
      <c r="K2" s="3"/>
      <c r="L2" s="3"/>
    </row>
    <row r="3" spans="1:12" ht="28.8" x14ac:dyDescent="0.3">
      <c r="A3" s="2" t="s">
        <v>12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19</v>
      </c>
      <c r="I3" s="3" t="s">
        <v>27</v>
      </c>
      <c r="J3" s="3"/>
      <c r="K3" s="3"/>
      <c r="L3" s="3"/>
    </row>
    <row r="4" spans="1:12" ht="28.8" x14ac:dyDescent="0.3">
      <c r="A4" s="2" t="s">
        <v>12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33</v>
      </c>
      <c r="H4" s="3" t="s">
        <v>19</v>
      </c>
      <c r="I4" s="3" t="s">
        <v>20</v>
      </c>
      <c r="J4" s="3"/>
      <c r="K4" s="3"/>
      <c r="L4" s="3"/>
    </row>
    <row r="5" spans="1:12" ht="43.2" x14ac:dyDescent="0.3">
      <c r="A5" s="2" t="s">
        <v>12</v>
      </c>
      <c r="B5" s="3" t="s">
        <v>34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19</v>
      </c>
      <c r="I5" s="3" t="s">
        <v>27</v>
      </c>
      <c r="J5" s="3"/>
      <c r="K5" s="3"/>
      <c r="L5" s="3"/>
    </row>
    <row r="6" spans="1:12" ht="28.8" x14ac:dyDescent="0.3">
      <c r="A6" s="2" t="s">
        <v>12</v>
      </c>
      <c r="B6" s="3" t="s">
        <v>40</v>
      </c>
      <c r="C6" s="3" t="s">
        <v>41</v>
      </c>
      <c r="D6" s="3" t="s">
        <v>42</v>
      </c>
      <c r="E6" s="3" t="s">
        <v>43</v>
      </c>
      <c r="F6" s="3" t="s">
        <v>44</v>
      </c>
      <c r="G6" s="3" t="s">
        <v>45</v>
      </c>
      <c r="H6" s="3" t="s">
        <v>19</v>
      </c>
      <c r="I6" s="3" t="s">
        <v>20</v>
      </c>
      <c r="J6" s="3"/>
      <c r="K6" s="3"/>
      <c r="L6" s="3"/>
    </row>
    <row r="7" spans="1:12" ht="28.8" x14ac:dyDescent="0.3">
      <c r="A7" s="2" t="s">
        <v>12</v>
      </c>
      <c r="B7" s="3" t="s">
        <v>46</v>
      </c>
      <c r="C7" s="3" t="s">
        <v>47</v>
      </c>
      <c r="D7" s="3" t="s">
        <v>48</v>
      </c>
      <c r="E7" s="3" t="s">
        <v>49</v>
      </c>
      <c r="F7" s="3" t="s">
        <v>50</v>
      </c>
      <c r="G7" s="3" t="s">
        <v>51</v>
      </c>
      <c r="H7" s="3" t="s">
        <v>19</v>
      </c>
      <c r="I7" s="3" t="s">
        <v>20</v>
      </c>
      <c r="J7" s="3"/>
      <c r="K7" s="3"/>
      <c r="L7" s="3"/>
    </row>
    <row r="8" spans="1:12" ht="28.8" x14ac:dyDescent="0.3">
      <c r="A8" s="2" t="s">
        <v>12</v>
      </c>
      <c r="B8" s="3" t="s">
        <v>52</v>
      </c>
      <c r="C8" s="3" t="s">
        <v>53</v>
      </c>
      <c r="D8" s="3" t="s">
        <v>54</v>
      </c>
      <c r="E8" s="3" t="s">
        <v>55</v>
      </c>
      <c r="F8" s="3" t="s">
        <v>56</v>
      </c>
      <c r="G8" s="3" t="s">
        <v>57</v>
      </c>
      <c r="H8" s="3" t="s">
        <v>19</v>
      </c>
      <c r="I8" s="3" t="s">
        <v>20</v>
      </c>
      <c r="J8" s="3"/>
      <c r="K8" s="3"/>
      <c r="L8" s="3"/>
    </row>
    <row r="9" spans="1:12" ht="28.8" x14ac:dyDescent="0.3">
      <c r="A9" s="2" t="s">
        <v>12</v>
      </c>
      <c r="B9" s="3" t="s">
        <v>58</v>
      </c>
      <c r="C9" s="3" t="s">
        <v>59</v>
      </c>
      <c r="D9" s="3" t="s">
        <v>60</v>
      </c>
      <c r="E9" s="3" t="s">
        <v>61</v>
      </c>
      <c r="F9" s="3" t="s">
        <v>62</v>
      </c>
      <c r="G9" s="3" t="s">
        <v>63</v>
      </c>
      <c r="H9" s="3" t="s">
        <v>19</v>
      </c>
      <c r="I9" s="3" t="s">
        <v>20</v>
      </c>
      <c r="J9" s="3"/>
      <c r="K9" s="3"/>
      <c r="L9" s="3"/>
    </row>
    <row r="10" spans="1:12" ht="43.2" x14ac:dyDescent="0.3">
      <c r="A10" s="2" t="s">
        <v>12</v>
      </c>
      <c r="B10" s="3" t="s">
        <v>64</v>
      </c>
      <c r="C10" s="3" t="s">
        <v>65</v>
      </c>
      <c r="D10" s="3" t="s">
        <v>66</v>
      </c>
      <c r="E10" s="3" t="s">
        <v>67</v>
      </c>
      <c r="F10" s="3" t="s">
        <v>68</v>
      </c>
      <c r="G10" s="3" t="s">
        <v>69</v>
      </c>
      <c r="H10" s="3" t="s">
        <v>19</v>
      </c>
      <c r="I10" s="3" t="s">
        <v>20</v>
      </c>
      <c r="J10" s="3"/>
      <c r="K10" s="3"/>
      <c r="L10" s="3"/>
    </row>
    <row r="11" spans="1:12" ht="28.8" x14ac:dyDescent="0.3">
      <c r="A11" s="2" t="s">
        <v>12</v>
      </c>
      <c r="B11" s="3" t="s">
        <v>70</v>
      </c>
      <c r="C11" s="3" t="s">
        <v>71</v>
      </c>
      <c r="D11" s="3" t="s">
        <v>72</v>
      </c>
      <c r="E11" s="3" t="s">
        <v>73</v>
      </c>
      <c r="F11" s="3" t="s">
        <v>74</v>
      </c>
      <c r="G11" s="3" t="s">
        <v>75</v>
      </c>
      <c r="H11" s="3" t="s">
        <v>19</v>
      </c>
      <c r="I11" s="3" t="s">
        <v>20</v>
      </c>
      <c r="J11" s="3"/>
      <c r="K11" s="3"/>
      <c r="L11" s="3"/>
    </row>
    <row r="12" spans="1:12" ht="28.8" x14ac:dyDescent="0.3">
      <c r="A12" s="2" t="s">
        <v>12</v>
      </c>
      <c r="B12" s="3" t="s">
        <v>76</v>
      </c>
      <c r="C12" s="3" t="s">
        <v>77</v>
      </c>
      <c r="D12" s="3" t="s">
        <v>78</v>
      </c>
      <c r="E12" s="3" t="s">
        <v>79</v>
      </c>
      <c r="F12" s="3" t="s">
        <v>80</v>
      </c>
      <c r="G12" s="3" t="s">
        <v>81</v>
      </c>
      <c r="H12" s="3" t="s">
        <v>19</v>
      </c>
      <c r="I12" s="3" t="s">
        <v>27</v>
      </c>
      <c r="J12" s="3"/>
      <c r="K12" s="3"/>
      <c r="L12" s="3"/>
    </row>
    <row r="13" spans="1:12" ht="28.8" x14ac:dyDescent="0.3">
      <c r="A13" s="2" t="s">
        <v>12</v>
      </c>
      <c r="B13" s="3" t="s">
        <v>82</v>
      </c>
      <c r="C13" s="3" t="s">
        <v>83</v>
      </c>
      <c r="D13" s="3" t="s">
        <v>84</v>
      </c>
      <c r="E13" s="3" t="s">
        <v>85</v>
      </c>
      <c r="F13" s="3" t="s">
        <v>86</v>
      </c>
      <c r="G13" s="3" t="s">
        <v>87</v>
      </c>
      <c r="H13" s="3" t="s">
        <v>19</v>
      </c>
      <c r="I13" s="3" t="s">
        <v>20</v>
      </c>
      <c r="J13" s="3"/>
      <c r="K13" s="3"/>
      <c r="L13" s="3"/>
    </row>
    <row r="14" spans="1:12" ht="28.8" x14ac:dyDescent="0.3">
      <c r="A14" s="2" t="s">
        <v>12</v>
      </c>
      <c r="B14" s="3" t="s">
        <v>88</v>
      </c>
      <c r="C14" s="3" t="s">
        <v>89</v>
      </c>
      <c r="D14" s="3" t="s">
        <v>90</v>
      </c>
      <c r="E14" s="3" t="s">
        <v>91</v>
      </c>
      <c r="F14" s="3" t="s">
        <v>92</v>
      </c>
      <c r="G14" s="3" t="s">
        <v>93</v>
      </c>
      <c r="H14" s="3" t="s">
        <v>19</v>
      </c>
      <c r="I14" s="3" t="s">
        <v>20</v>
      </c>
      <c r="J14" s="3"/>
      <c r="K14" s="3"/>
      <c r="L14" s="3"/>
    </row>
    <row r="15" spans="1:12" ht="28.8" x14ac:dyDescent="0.3">
      <c r="A15" s="2" t="s">
        <v>12</v>
      </c>
      <c r="B15" s="3" t="s">
        <v>94</v>
      </c>
      <c r="C15" s="3" t="s">
        <v>95</v>
      </c>
      <c r="D15" s="3" t="s">
        <v>96</v>
      </c>
      <c r="E15" s="3" t="s">
        <v>97</v>
      </c>
      <c r="F15" s="3" t="s">
        <v>98</v>
      </c>
      <c r="G15" s="3" t="s">
        <v>99</v>
      </c>
      <c r="H15" s="3" t="s">
        <v>19</v>
      </c>
      <c r="I15" s="3" t="s">
        <v>20</v>
      </c>
      <c r="J15" s="3"/>
      <c r="K15" s="3"/>
      <c r="L15" s="3"/>
    </row>
    <row r="16" spans="1:12" ht="28.8" x14ac:dyDescent="0.3">
      <c r="A16" s="2" t="s">
        <v>12</v>
      </c>
      <c r="B16" s="3" t="s">
        <v>100</v>
      </c>
      <c r="C16" s="3" t="s">
        <v>101</v>
      </c>
      <c r="D16" s="3" t="s">
        <v>102</v>
      </c>
      <c r="E16" s="3" t="s">
        <v>103</v>
      </c>
      <c r="F16" s="3" t="s">
        <v>104</v>
      </c>
      <c r="G16" s="3" t="s">
        <v>105</v>
      </c>
      <c r="H16" s="3" t="s">
        <v>19</v>
      </c>
      <c r="I16" s="3" t="s">
        <v>153</v>
      </c>
      <c r="J16" s="3"/>
      <c r="K16" s="3"/>
      <c r="L16" s="3"/>
    </row>
    <row r="17" spans="1:12" ht="28.8" x14ac:dyDescent="0.3">
      <c r="A17" s="2" t="s">
        <v>12</v>
      </c>
      <c r="B17" s="3" t="s">
        <v>106</v>
      </c>
      <c r="C17" s="3" t="s">
        <v>107</v>
      </c>
      <c r="D17" s="3" t="s">
        <v>108</v>
      </c>
      <c r="E17" s="3" t="s">
        <v>109</v>
      </c>
      <c r="F17" s="3" t="s">
        <v>110</v>
      </c>
      <c r="G17" s="3" t="s">
        <v>111</v>
      </c>
      <c r="H17" s="3" t="s">
        <v>19</v>
      </c>
      <c r="I17" s="3" t="s">
        <v>20</v>
      </c>
      <c r="J17" s="3"/>
      <c r="K17" s="3"/>
      <c r="L17" s="3"/>
    </row>
    <row r="18" spans="1:12" ht="28.8" x14ac:dyDescent="0.3">
      <c r="A18" s="2" t="s">
        <v>12</v>
      </c>
      <c r="B18" s="3" t="s">
        <v>112</v>
      </c>
      <c r="C18" s="3" t="s">
        <v>113</v>
      </c>
      <c r="D18" s="3" t="s">
        <v>114</v>
      </c>
      <c r="E18" s="3" t="s">
        <v>115</v>
      </c>
      <c r="F18" s="3" t="s">
        <v>116</v>
      </c>
      <c r="G18" s="3" t="s">
        <v>117</v>
      </c>
      <c r="H18" s="3" t="s">
        <v>19</v>
      </c>
      <c r="I18" s="3" t="s">
        <v>20</v>
      </c>
      <c r="J18" s="3"/>
      <c r="K18" s="3"/>
      <c r="L18" s="3"/>
    </row>
    <row r="19" spans="1:12" ht="43.2" x14ac:dyDescent="0.3">
      <c r="A19" s="2" t="s">
        <v>12</v>
      </c>
      <c r="B19" s="3" t="s">
        <v>118</v>
      </c>
      <c r="C19" s="3" t="s">
        <v>119</v>
      </c>
      <c r="D19" s="3" t="s">
        <v>120</v>
      </c>
      <c r="E19" s="3" t="s">
        <v>121</v>
      </c>
      <c r="F19" s="3" t="s">
        <v>122</v>
      </c>
      <c r="G19" s="3" t="s">
        <v>123</v>
      </c>
      <c r="H19" s="3" t="s">
        <v>19</v>
      </c>
      <c r="I19" s="3" t="s">
        <v>20</v>
      </c>
      <c r="J19" s="3"/>
      <c r="K19" s="3"/>
      <c r="L19" s="3"/>
    </row>
    <row r="20" spans="1:12" ht="28.8" x14ac:dyDescent="0.3">
      <c r="A20" s="2" t="s">
        <v>12</v>
      </c>
      <c r="B20" s="3" t="s">
        <v>124</v>
      </c>
      <c r="C20" s="3" t="s">
        <v>125</v>
      </c>
      <c r="D20" s="3" t="s">
        <v>126</v>
      </c>
      <c r="E20" s="3" t="s">
        <v>127</v>
      </c>
      <c r="F20" s="3" t="s">
        <v>128</v>
      </c>
      <c r="G20" s="3" t="s">
        <v>129</v>
      </c>
      <c r="H20" s="3" t="s">
        <v>130</v>
      </c>
      <c r="I20" s="3" t="s">
        <v>20</v>
      </c>
      <c r="J20" s="3"/>
      <c r="K20" s="3"/>
      <c r="L20" s="3"/>
    </row>
    <row r="21" spans="1:12" ht="28.8" x14ac:dyDescent="0.3">
      <c r="A21" s="2" t="s">
        <v>12</v>
      </c>
      <c r="B21" s="3" t="s">
        <v>131</v>
      </c>
      <c r="C21" s="3" t="s">
        <v>132</v>
      </c>
      <c r="D21" s="3" t="s">
        <v>133</v>
      </c>
      <c r="E21" s="3" t="s">
        <v>134</v>
      </c>
      <c r="F21" s="3" t="s">
        <v>135</v>
      </c>
      <c r="G21" s="3" t="s">
        <v>136</v>
      </c>
      <c r="H21" s="3" t="s">
        <v>130</v>
      </c>
      <c r="I21" s="3" t="s">
        <v>20</v>
      </c>
      <c r="J21" s="3"/>
      <c r="K21" s="3"/>
      <c r="L21" s="3"/>
    </row>
    <row r="22" spans="1:12" ht="28.8" x14ac:dyDescent="0.3">
      <c r="A22" s="2" t="s">
        <v>12</v>
      </c>
      <c r="B22" s="3" t="s">
        <v>137</v>
      </c>
      <c r="C22" s="3" t="s">
        <v>138</v>
      </c>
      <c r="D22" s="3" t="s">
        <v>139</v>
      </c>
      <c r="E22" s="3" t="s">
        <v>140</v>
      </c>
      <c r="F22" s="3" t="s">
        <v>141</v>
      </c>
      <c r="G22" s="3" t="s">
        <v>142</v>
      </c>
      <c r="H22" s="3" t="s">
        <v>130</v>
      </c>
      <c r="I22" s="3" t="s">
        <v>20</v>
      </c>
      <c r="J22" s="3"/>
      <c r="K22" s="3"/>
      <c r="L22" s="3"/>
    </row>
    <row r="23" spans="1:12" ht="28.8" x14ac:dyDescent="0.3">
      <c r="A23" s="2" t="s">
        <v>12</v>
      </c>
      <c r="B23" s="3" t="s">
        <v>143</v>
      </c>
      <c r="C23" s="3" t="s">
        <v>144</v>
      </c>
      <c r="D23" s="3" t="s">
        <v>145</v>
      </c>
      <c r="E23" s="3" t="s">
        <v>146</v>
      </c>
      <c r="F23" s="3" t="s">
        <v>147</v>
      </c>
      <c r="G23" s="3" t="s">
        <v>148</v>
      </c>
      <c r="H23" s="3" t="s">
        <v>19</v>
      </c>
      <c r="I23" s="3" t="s">
        <v>27</v>
      </c>
      <c r="J23" s="3"/>
      <c r="K23" s="3"/>
      <c r="L23" s="3"/>
    </row>
  </sheetData>
  <autoFilter ref="A1:L23" xr:uid="{00000000-0009-0000-0000-000000000000}"/>
  <conditionalFormatting sqref="I2:I23">
    <cfRule type="expression" dxfId="3" priority="1">
      <formula>I2="Completed"</formula>
    </cfRule>
    <cfRule type="expression" dxfId="2" priority="2">
      <formula>I2="In Progress"</formula>
    </cfRule>
    <cfRule type="expression" dxfId="1" priority="3">
      <formula>I2="Blocked"</formula>
    </cfRule>
    <cfRule type="expression" dxfId="0" priority="4">
      <formula>I2="Not Started"</formula>
    </cfRule>
  </conditionalFormatting>
  <dataValidations count="3">
    <dataValidation type="list" allowBlank="1" sqref="I2:I23" xr:uid="{00000000-0002-0000-0000-000000000000}">
      <formula1>"Not Started,In Progress,Blocked,Completed,Deferred"</formula1>
    </dataValidation>
    <dataValidation type="list" allowBlank="1" sqref="H2:H23" xr:uid="{00000000-0002-0000-0000-000001000000}">
      <formula1>"High,Medium,Low"</formula1>
    </dataValidation>
    <dataValidation type="list" sqref="A2:A23" xr:uid="{00000000-0002-0000-0000-000002000000}">
      <formula1>"☐,☑"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/>
  </sheetViews>
  <sheetFormatPr defaultRowHeight="14.4" x14ac:dyDescent="0.3"/>
  <cols>
    <col min="1" max="4" width="28" customWidth="1"/>
  </cols>
  <sheetData>
    <row r="1" spans="1:4" ht="23.4" x14ac:dyDescent="0.45">
      <c r="A1" s="9" t="s">
        <v>149</v>
      </c>
      <c r="B1" s="10"/>
      <c r="C1" s="10"/>
      <c r="D1" s="10"/>
    </row>
    <row r="3" spans="1:4" x14ac:dyDescent="0.3">
      <c r="A3" s="4" t="s">
        <v>150</v>
      </c>
      <c r="B3" s="4" t="s">
        <v>151</v>
      </c>
      <c r="C3" s="4"/>
      <c r="D3" s="4"/>
    </row>
    <row r="4" spans="1:4" x14ac:dyDescent="0.3">
      <c r="A4" t="s">
        <v>152</v>
      </c>
      <c r="B4">
        <f>COUNTA('Implementation Checklist'!B2:B23)</f>
        <v>22</v>
      </c>
    </row>
    <row r="5" spans="1:4" x14ac:dyDescent="0.3">
      <c r="A5" t="s">
        <v>153</v>
      </c>
      <c r="B5">
        <f>COUNTIF('Implementation Checklist'!I2:I23,"Completed")</f>
        <v>1</v>
      </c>
    </row>
    <row r="6" spans="1:4" x14ac:dyDescent="0.3">
      <c r="A6" t="s">
        <v>27</v>
      </c>
      <c r="B6">
        <f>COUNTIF('Implementation Checklist'!I2:I23,"In Progress")</f>
        <v>4</v>
      </c>
    </row>
    <row r="7" spans="1:4" x14ac:dyDescent="0.3">
      <c r="A7" t="s">
        <v>20</v>
      </c>
      <c r="B7">
        <f>COUNTIF('Implementation Checklist'!I2:I23,"Not Started")</f>
        <v>17</v>
      </c>
    </row>
    <row r="8" spans="1:4" x14ac:dyDescent="0.3">
      <c r="A8" t="s">
        <v>154</v>
      </c>
      <c r="B8">
        <f>COUNTIF('Implementation Checklist'!I2:I23,"Blocked")</f>
        <v>0</v>
      </c>
    </row>
    <row r="9" spans="1:4" x14ac:dyDescent="0.3">
      <c r="A9" t="s">
        <v>155</v>
      </c>
      <c r="B9" s="5">
        <f>IF(B4=0,0,B5/B4)</f>
        <v>4.5454545454545456E-2</v>
      </c>
    </row>
    <row r="11" spans="1:4" x14ac:dyDescent="0.3">
      <c r="A11" s="4" t="s">
        <v>7</v>
      </c>
      <c r="B11" s="4" t="s">
        <v>156</v>
      </c>
      <c r="C11" s="4"/>
      <c r="D11" s="4"/>
    </row>
    <row r="12" spans="1:4" x14ac:dyDescent="0.3">
      <c r="A12" t="s">
        <v>19</v>
      </c>
      <c r="B12">
        <f>COUNTIF('Implementation Checklist'!H2:H23,"High")</f>
        <v>19</v>
      </c>
    </row>
    <row r="13" spans="1:4" x14ac:dyDescent="0.3">
      <c r="A13" t="s">
        <v>130</v>
      </c>
      <c r="B13">
        <f>COUNTIF('Implementation Checklist'!H2:H23,"Medium")</f>
        <v>3</v>
      </c>
    </row>
    <row r="14" spans="1:4" x14ac:dyDescent="0.3">
      <c r="A14" t="s">
        <v>157</v>
      </c>
      <c r="B14">
        <f>COUNTIF('Implementation Checklist'!H2:H23,"Low")</f>
        <v>0</v>
      </c>
    </row>
    <row r="17" spans="1:1" x14ac:dyDescent="0.3">
      <c r="A17" s="6" t="s">
        <v>158</v>
      </c>
    </row>
    <row r="18" spans="1:1" x14ac:dyDescent="0.3">
      <c r="A18" t="s">
        <v>159</v>
      </c>
    </row>
    <row r="19" spans="1:1" x14ac:dyDescent="0.3">
      <c r="A19" t="s">
        <v>160</v>
      </c>
    </row>
    <row r="20" spans="1:1" x14ac:dyDescent="0.3">
      <c r="A20" t="s">
        <v>161</v>
      </c>
    </row>
    <row r="21" spans="1:1" x14ac:dyDescent="0.3">
      <c r="A21" t="s">
        <v>162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42" customWidth="1"/>
    <col min="3" max="3" width="48" customWidth="1"/>
    <col min="4" max="4" width="20" customWidth="1"/>
    <col min="5" max="5" width="16" customWidth="1"/>
    <col min="6" max="6" width="35" customWidth="1"/>
  </cols>
  <sheetData>
    <row r="1" spans="1:6" x14ac:dyDescent="0.3">
      <c r="A1" s="7" t="s">
        <v>163</v>
      </c>
      <c r="B1" s="7" t="s">
        <v>164</v>
      </c>
      <c r="C1" s="7" t="s">
        <v>165</v>
      </c>
      <c r="D1" s="7" t="s">
        <v>166</v>
      </c>
      <c r="E1" s="7" t="s">
        <v>8</v>
      </c>
      <c r="F1" s="7" t="s">
        <v>167</v>
      </c>
    </row>
    <row r="2" spans="1:6" ht="28.8" x14ac:dyDescent="0.3">
      <c r="A2" s="8" t="s">
        <v>168</v>
      </c>
      <c r="B2" s="8" t="s">
        <v>169</v>
      </c>
      <c r="C2" s="8" t="s">
        <v>170</v>
      </c>
      <c r="D2" s="8"/>
      <c r="E2" s="8" t="s">
        <v>20</v>
      </c>
      <c r="F2" s="8"/>
    </row>
    <row r="3" spans="1:6" x14ac:dyDescent="0.3">
      <c r="A3" s="8" t="s">
        <v>171</v>
      </c>
      <c r="B3" s="8" t="s">
        <v>172</v>
      </c>
      <c r="C3" s="8" t="s">
        <v>173</v>
      </c>
      <c r="D3" s="8"/>
      <c r="E3" s="8" t="s">
        <v>20</v>
      </c>
      <c r="F3" s="8"/>
    </row>
    <row r="4" spans="1:6" x14ac:dyDescent="0.3">
      <c r="A4" s="8" t="s">
        <v>174</v>
      </c>
      <c r="B4" s="8" t="s">
        <v>175</v>
      </c>
      <c r="C4" s="8" t="s">
        <v>176</v>
      </c>
      <c r="D4" s="8"/>
      <c r="E4" s="8" t="s">
        <v>20</v>
      </c>
      <c r="F4" s="8"/>
    </row>
    <row r="5" spans="1:6" x14ac:dyDescent="0.3">
      <c r="A5" s="8" t="s">
        <v>177</v>
      </c>
      <c r="B5" s="8" t="s">
        <v>178</v>
      </c>
      <c r="C5" s="8" t="s">
        <v>179</v>
      </c>
      <c r="D5" s="8"/>
      <c r="E5" s="8" t="s">
        <v>20</v>
      </c>
      <c r="F5" s="8"/>
    </row>
    <row r="6" spans="1:6" x14ac:dyDescent="0.3">
      <c r="A6" s="8" t="s">
        <v>180</v>
      </c>
      <c r="B6" s="8" t="s">
        <v>181</v>
      </c>
      <c r="C6" s="8" t="s">
        <v>182</v>
      </c>
      <c r="D6" s="8"/>
      <c r="E6" s="8" t="s">
        <v>20</v>
      </c>
      <c r="F6" s="8"/>
    </row>
    <row r="7" spans="1:6" x14ac:dyDescent="0.3">
      <c r="A7" s="8" t="s">
        <v>183</v>
      </c>
      <c r="B7" s="8" t="s">
        <v>184</v>
      </c>
      <c r="C7" s="8" t="s">
        <v>185</v>
      </c>
      <c r="D7" s="8"/>
      <c r="E7" s="8" t="s">
        <v>20</v>
      </c>
      <c r="F7" s="8"/>
    </row>
    <row r="8" spans="1:6" x14ac:dyDescent="0.3">
      <c r="A8" s="8" t="s">
        <v>186</v>
      </c>
      <c r="B8" s="8" t="s">
        <v>187</v>
      </c>
      <c r="C8" s="8" t="s">
        <v>188</v>
      </c>
      <c r="D8" s="8"/>
      <c r="E8" s="8" t="s">
        <v>20</v>
      </c>
      <c r="F8" s="8"/>
    </row>
    <row r="9" spans="1:6" x14ac:dyDescent="0.3">
      <c r="A9" s="8" t="s">
        <v>189</v>
      </c>
      <c r="B9" s="8" t="s">
        <v>190</v>
      </c>
      <c r="C9" s="8" t="s">
        <v>191</v>
      </c>
      <c r="D9" s="8"/>
      <c r="E9" s="8" t="s">
        <v>20</v>
      </c>
      <c r="F9" s="8"/>
    </row>
    <row r="10" spans="1:6" x14ac:dyDescent="0.3">
      <c r="A10" s="8" t="s">
        <v>192</v>
      </c>
      <c r="B10" s="8" t="s">
        <v>193</v>
      </c>
      <c r="C10" s="8" t="s">
        <v>194</v>
      </c>
      <c r="D10" s="8"/>
      <c r="E10" s="8" t="s">
        <v>20</v>
      </c>
      <c r="F10" s="8"/>
    </row>
    <row r="11" spans="1:6" x14ac:dyDescent="0.3">
      <c r="A11" s="8" t="s">
        <v>195</v>
      </c>
      <c r="B11" s="8" t="s">
        <v>196</v>
      </c>
      <c r="C11" s="8" t="s">
        <v>197</v>
      </c>
      <c r="D11" s="8"/>
      <c r="E11" s="8" t="s">
        <v>20</v>
      </c>
      <c r="F11" s="8"/>
    </row>
    <row r="12" spans="1:6" x14ac:dyDescent="0.3">
      <c r="A12" s="8" t="s">
        <v>198</v>
      </c>
      <c r="B12" s="8" t="s">
        <v>199</v>
      </c>
      <c r="C12" s="8" t="s">
        <v>200</v>
      </c>
      <c r="D12" s="8"/>
      <c r="E12" s="8" t="s">
        <v>20</v>
      </c>
      <c r="F12" s="8"/>
    </row>
    <row r="13" spans="1:6" x14ac:dyDescent="0.3">
      <c r="A13" s="8" t="s">
        <v>201</v>
      </c>
      <c r="B13" s="8" t="s">
        <v>202</v>
      </c>
      <c r="C13" s="8" t="s">
        <v>203</v>
      </c>
      <c r="D13" s="8"/>
      <c r="E13" s="8" t="s">
        <v>20</v>
      </c>
      <c r="F13" s="8"/>
    </row>
    <row r="14" spans="1:6" x14ac:dyDescent="0.3">
      <c r="A14" s="8" t="s">
        <v>204</v>
      </c>
      <c r="B14" s="8" t="s">
        <v>205</v>
      </c>
      <c r="C14" s="8" t="s">
        <v>206</v>
      </c>
      <c r="D14" s="8"/>
      <c r="E14" s="8" t="s">
        <v>20</v>
      </c>
      <c r="F14" s="8"/>
    </row>
    <row r="15" spans="1:6" x14ac:dyDescent="0.3">
      <c r="A15" s="8" t="s">
        <v>207</v>
      </c>
      <c r="B15" s="8" t="s">
        <v>208</v>
      </c>
      <c r="C15" s="8" t="s">
        <v>209</v>
      </c>
      <c r="D15" s="8"/>
      <c r="E15" s="8" t="s">
        <v>20</v>
      </c>
      <c r="F15" s="8"/>
    </row>
  </sheetData>
  <autoFilter ref="A1:F15" xr:uid="{00000000-0009-0000-0000-000002000000}"/>
  <dataValidations count="1">
    <dataValidation type="list" allowBlank="1" sqref="E2:E15" xr:uid="{00000000-0002-0000-0200-000000000000}">
      <formula1>"Not Started,In Progress,Passed,Failed,Blocked"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Implementation Checklist</vt:lpstr>
      <vt:lpstr>Progress Summary</vt:lpstr>
      <vt:lpstr>Scenario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Sneha Nayak</cp:lastModifiedBy>
  <dcterms:created xsi:type="dcterms:W3CDTF">2026-08-17T05:44:28Z</dcterms:created>
  <dcterms:modified xsi:type="dcterms:W3CDTF">2026-08-17T05:46:55Z</dcterms:modified>
</cp:coreProperties>
</file>